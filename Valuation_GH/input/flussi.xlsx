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768d4555db55f8e/Desktop/"/>
    </mc:Choice>
  </mc:AlternateContent>
  <xr:revisionPtr revIDLastSave="1" documentId="8_{8086ACCE-B1E8-4BED-A4B4-9952B5E4825C}" xr6:coauthVersionLast="47" xr6:coauthVersionMax="47" xr10:uidLastSave="{C79B76B8-CF61-4B99-938C-D59FD18484F7}"/>
  <bookViews>
    <workbookView xWindow="-108" yWindow="-108" windowWidth="23256" windowHeight="12456" activeTab="1" xr2:uid="{1EBAFCD5-C10C-4DAE-A54B-D0AB9B215923}"/>
  </bookViews>
  <sheets>
    <sheet name="Enterprise_Data" sheetId="1" r:id="rId1"/>
    <sheet name="FLUSSI" sheetId="3" r:id="rId2"/>
    <sheet name="Hypothesi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3" l="1"/>
  <c r="E3" i="3"/>
  <c r="D3" i="3"/>
  <c r="C3" i="3"/>
  <c r="B3" i="3"/>
  <c r="F2" i="3"/>
  <c r="E2" i="3"/>
  <c r="D2" i="3"/>
  <c r="C2" i="3"/>
  <c r="B2" i="3"/>
  <c r="B1" i="3"/>
  <c r="C1" i="3" s="1"/>
  <c r="D1" i="3" s="1"/>
  <c r="E1" i="3" s="1"/>
  <c r="F1" i="3" s="1"/>
  <c r="P23" i="1"/>
  <c r="O23" i="1"/>
  <c r="N23" i="1"/>
  <c r="M23" i="1"/>
  <c r="L23" i="1"/>
  <c r="K23" i="1"/>
  <c r="L22" i="1"/>
  <c r="M22" i="1" s="1"/>
  <c r="N22" i="1" s="1"/>
  <c r="O22" i="1" s="1"/>
  <c r="P22" i="1" s="1"/>
  <c r="L21" i="1"/>
  <c r="M21" i="1" s="1"/>
  <c r="N21" i="1" s="1"/>
  <c r="O21" i="1" s="1"/>
  <c r="P21" i="1" s="1"/>
  <c r="P20" i="1"/>
  <c r="O20" i="1"/>
  <c r="N20" i="1"/>
  <c r="M20" i="1"/>
  <c r="L20" i="1"/>
  <c r="K20" i="1"/>
  <c r="L19" i="1"/>
  <c r="M19" i="1" s="1"/>
  <c r="N19" i="1" s="1"/>
  <c r="O19" i="1" s="1"/>
  <c r="P19" i="1" s="1"/>
  <c r="L17" i="1"/>
  <c r="M17" i="1" s="1"/>
  <c r="N17" i="1" s="1"/>
  <c r="O17" i="1" s="1"/>
  <c r="P17" i="1" s="1"/>
  <c r="P16" i="1"/>
  <c r="P18" i="1" s="1"/>
  <c r="O16" i="1"/>
  <c r="O18" i="1" s="1"/>
  <c r="N16" i="1"/>
  <c r="N18" i="1" s="1"/>
  <c r="M16" i="1"/>
  <c r="M18" i="1" s="1"/>
  <c r="L16" i="1"/>
  <c r="L18" i="1" s="1"/>
  <c r="K16" i="1"/>
  <c r="K18" i="1" s="1"/>
  <c r="P15" i="1"/>
  <c r="O15" i="1"/>
  <c r="N15" i="1"/>
  <c r="M15" i="1"/>
  <c r="L15" i="1"/>
  <c r="K15" i="1"/>
  <c r="L14" i="1"/>
  <c r="M14" i="1" s="1"/>
  <c r="N14" i="1" s="1"/>
  <c r="O14" i="1" s="1"/>
  <c r="P14" i="1" s="1"/>
  <c r="L13" i="1"/>
  <c r="M13" i="1" s="1"/>
  <c r="N13" i="1" s="1"/>
  <c r="O13" i="1" s="1"/>
  <c r="P13" i="1" s="1"/>
  <c r="L12" i="1"/>
  <c r="M12" i="1" s="1"/>
  <c r="N12" i="1" s="1"/>
  <c r="O12" i="1" s="1"/>
  <c r="P12" i="1" s="1"/>
  <c r="P11" i="1"/>
  <c r="O11" i="1"/>
  <c r="N11" i="1"/>
  <c r="M11" i="1"/>
  <c r="L11" i="1"/>
  <c r="K11" i="1"/>
  <c r="L10" i="1"/>
  <c r="M10" i="1" s="1"/>
  <c r="N10" i="1" s="1"/>
  <c r="O10" i="1" s="1"/>
  <c r="P10" i="1" s="1"/>
  <c r="L9" i="1"/>
  <c r="M9" i="1" s="1"/>
  <c r="N9" i="1" s="1"/>
  <c r="O9" i="1" s="1"/>
  <c r="P9" i="1" s="1"/>
  <c r="K8" i="1"/>
  <c r="L7" i="1"/>
  <c r="M7" i="1" s="1"/>
  <c r="N7" i="1" s="1"/>
  <c r="O7" i="1" s="1"/>
  <c r="P7" i="1" s="1"/>
  <c r="L6" i="1"/>
  <c r="M6" i="1" s="1"/>
  <c r="N6" i="1" s="1"/>
  <c r="O6" i="1" s="1"/>
  <c r="P6" i="1" s="1"/>
  <c r="L5" i="1"/>
  <c r="L3" i="1"/>
  <c r="M3" i="1" s="1"/>
  <c r="N3" i="1" s="1"/>
  <c r="O3" i="1" s="1"/>
  <c r="P3" i="1" s="1"/>
  <c r="H33" i="1"/>
  <c r="H34" i="1" s="1"/>
  <c r="G33" i="1"/>
  <c r="G34" i="1" s="1"/>
  <c r="F33" i="1"/>
  <c r="F34" i="1" s="1"/>
  <c r="E33" i="1"/>
  <c r="E34" i="1" s="1"/>
  <c r="D33" i="1"/>
  <c r="D34" i="1" s="1"/>
  <c r="C33" i="1"/>
  <c r="C34" i="1" s="1"/>
  <c r="H32" i="1"/>
  <c r="G32" i="1"/>
  <c r="F32" i="1"/>
  <c r="E32" i="1"/>
  <c r="D32" i="1"/>
  <c r="C32" i="1"/>
  <c r="D31" i="1"/>
  <c r="E31" i="1" s="1"/>
  <c r="F31" i="1" s="1"/>
  <c r="G31" i="1" s="1"/>
  <c r="H31" i="1" s="1"/>
  <c r="H30" i="1"/>
  <c r="G30" i="1"/>
  <c r="F30" i="1"/>
  <c r="E30" i="1"/>
  <c r="D30" i="1"/>
  <c r="C30" i="1"/>
  <c r="H25" i="1"/>
  <c r="G25" i="1"/>
  <c r="F25" i="1"/>
  <c r="E25" i="1"/>
  <c r="D25" i="1"/>
  <c r="C25" i="1"/>
  <c r="H20" i="1"/>
  <c r="G20" i="1"/>
  <c r="F20" i="1"/>
  <c r="E20" i="1"/>
  <c r="D20" i="1"/>
  <c r="C20" i="1"/>
  <c r="C26" i="1"/>
  <c r="D29" i="1"/>
  <c r="E29" i="1" s="1"/>
  <c r="F29" i="1" s="1"/>
  <c r="G29" i="1" s="1"/>
  <c r="H29" i="1" s="1"/>
  <c r="D28" i="1"/>
  <c r="E28" i="1" s="1"/>
  <c r="F28" i="1" s="1"/>
  <c r="G28" i="1" s="1"/>
  <c r="H28" i="1" s="1"/>
  <c r="D27" i="1"/>
  <c r="E27" i="1" s="1"/>
  <c r="F27" i="1" s="1"/>
  <c r="G27" i="1" s="1"/>
  <c r="H27" i="1" s="1"/>
  <c r="D24" i="1"/>
  <c r="E24" i="1" s="1"/>
  <c r="F24" i="1" s="1"/>
  <c r="G24" i="1" s="1"/>
  <c r="H24" i="1" s="1"/>
  <c r="D23" i="1"/>
  <c r="E23" i="1" s="1"/>
  <c r="F23" i="1" s="1"/>
  <c r="G23" i="1" s="1"/>
  <c r="H23" i="1" s="1"/>
  <c r="D22" i="1"/>
  <c r="E22" i="1" s="1"/>
  <c r="F22" i="1" s="1"/>
  <c r="G22" i="1" s="1"/>
  <c r="H22" i="1" s="1"/>
  <c r="D21" i="1"/>
  <c r="E21" i="1" s="1"/>
  <c r="F21" i="1" s="1"/>
  <c r="G21" i="1" s="1"/>
  <c r="H21" i="1" s="1"/>
  <c r="D18" i="1"/>
  <c r="E18" i="1" s="1"/>
  <c r="F18" i="1" s="1"/>
  <c r="G18" i="1" s="1"/>
  <c r="H18" i="1" s="1"/>
  <c r="D17" i="1"/>
  <c r="E17" i="1" s="1"/>
  <c r="F17" i="1" s="1"/>
  <c r="G17" i="1" s="1"/>
  <c r="H17" i="1" s="1"/>
  <c r="D16" i="1"/>
  <c r="D15" i="1"/>
  <c r="E15" i="1" s="1"/>
  <c r="F15" i="1" s="1"/>
  <c r="G15" i="1" s="1"/>
  <c r="H15" i="1" s="1"/>
  <c r="D14" i="1"/>
  <c r="E14" i="1" s="1"/>
  <c r="F14" i="1" s="1"/>
  <c r="G14" i="1" s="1"/>
  <c r="H14" i="1" s="1"/>
  <c r="D13" i="1"/>
  <c r="E13" i="1" s="1"/>
  <c r="F13" i="1" s="1"/>
  <c r="G13" i="1" s="1"/>
  <c r="H13" i="1" s="1"/>
  <c r="D12" i="1"/>
  <c r="E12" i="1" s="1"/>
  <c r="F12" i="1" s="1"/>
  <c r="G12" i="1" s="1"/>
  <c r="H12" i="1" s="1"/>
  <c r="D9" i="1"/>
  <c r="E9" i="1" s="1"/>
  <c r="F9" i="1" s="1"/>
  <c r="G9" i="1" s="1"/>
  <c r="H9" i="1" s="1"/>
  <c r="D7" i="1"/>
  <c r="E7" i="1" s="1"/>
  <c r="F7" i="1" s="1"/>
  <c r="G7" i="1" s="1"/>
  <c r="H7" i="1" s="1"/>
  <c r="D8" i="1"/>
  <c r="E8" i="1" s="1"/>
  <c r="F8" i="1" s="1"/>
  <c r="G8" i="1" s="1"/>
  <c r="H8" i="1" s="1"/>
  <c r="C11" i="1"/>
  <c r="C6" i="1"/>
  <c r="C10" i="1" s="1"/>
  <c r="C19" i="1" s="1"/>
  <c r="D5" i="1"/>
  <c r="E5" i="1" s="1"/>
  <c r="F5" i="1" s="1"/>
  <c r="G5" i="1" s="1"/>
  <c r="H5" i="1" s="1"/>
  <c r="D3" i="1"/>
  <c r="E3" i="1" s="1"/>
  <c r="F3" i="1" s="1"/>
  <c r="G3" i="1" s="1"/>
  <c r="H3" i="1" s="1"/>
  <c r="L8" i="1" l="1"/>
  <c r="M5" i="1"/>
  <c r="N5" i="1" s="1"/>
  <c r="O5" i="1" s="1"/>
  <c r="P5" i="1" s="1"/>
  <c r="P8" i="1" s="1"/>
  <c r="M8" i="1"/>
  <c r="N8" i="1"/>
  <c r="H26" i="1"/>
  <c r="D26" i="1"/>
  <c r="G26" i="1"/>
  <c r="E26" i="1"/>
  <c r="F26" i="1"/>
  <c r="D11" i="1"/>
  <c r="E16" i="1"/>
  <c r="F16" i="1" s="1"/>
  <c r="G16" i="1" s="1"/>
  <c r="H16" i="1" s="1"/>
  <c r="H6" i="1"/>
  <c r="H10" i="1" s="1"/>
  <c r="D6" i="1"/>
  <c r="D10" i="1" s="1"/>
  <c r="D19" i="1" s="1"/>
  <c r="E6" i="1"/>
  <c r="E10" i="1" s="1"/>
  <c r="F6" i="1"/>
  <c r="F10" i="1" s="1"/>
  <c r="G6" i="1"/>
  <c r="G10" i="1" s="1"/>
  <c r="O8" i="1" l="1"/>
  <c r="E11" i="1"/>
  <c r="E19" i="1" s="1"/>
  <c r="F11" i="1" l="1"/>
  <c r="F19" i="1" s="1"/>
  <c r="H11" i="1" l="1"/>
  <c r="H19" i="1" s="1"/>
  <c r="G11" i="1"/>
  <c r="G19" i="1" s="1"/>
</calcChain>
</file>

<file path=xl/sharedStrings.xml><?xml version="1.0" encoding="utf-8"?>
<sst xmlns="http://schemas.openxmlformats.org/spreadsheetml/2006/main" count="55" uniqueCount="54">
  <si>
    <t>NoR</t>
  </si>
  <si>
    <t>Cost of good sold</t>
  </si>
  <si>
    <t>GP</t>
  </si>
  <si>
    <t>direct material cost</t>
  </si>
  <si>
    <t>direct production service cost</t>
  </si>
  <si>
    <t>direct labour cost</t>
  </si>
  <si>
    <t>R Growth</t>
  </si>
  <si>
    <t>Cost Growth</t>
  </si>
  <si>
    <t>Operating cost</t>
  </si>
  <si>
    <t>Personal cost</t>
  </si>
  <si>
    <t>research cost</t>
  </si>
  <si>
    <t>marketing cost</t>
  </si>
  <si>
    <t>logistic cost</t>
  </si>
  <si>
    <t>advisory cost</t>
  </si>
  <si>
    <t>general and adm cost</t>
  </si>
  <si>
    <t>leasing cost</t>
  </si>
  <si>
    <t>EBITDA</t>
  </si>
  <si>
    <t>ammortization</t>
  </si>
  <si>
    <t>depreciation</t>
  </si>
  <si>
    <t xml:space="preserve">impairment </t>
  </si>
  <si>
    <t>accrual to provisions</t>
  </si>
  <si>
    <t>EBIT</t>
  </si>
  <si>
    <t xml:space="preserve">interest on debt </t>
  </si>
  <si>
    <t>other financial cost</t>
  </si>
  <si>
    <t>financial revenues</t>
  </si>
  <si>
    <t>Net financial cost</t>
  </si>
  <si>
    <t>op  cost (no cash)</t>
  </si>
  <si>
    <t>EBT</t>
  </si>
  <si>
    <t>EBT op</t>
  </si>
  <si>
    <t>Non-op cost</t>
  </si>
  <si>
    <t>TAXES</t>
  </si>
  <si>
    <t>NET INCOME</t>
  </si>
  <si>
    <t>CAPEX</t>
  </si>
  <si>
    <t>op tangible asset</t>
  </si>
  <si>
    <t>op intangible asset</t>
  </si>
  <si>
    <t>permanent inventories</t>
  </si>
  <si>
    <t>trade receivables</t>
  </si>
  <si>
    <t>trade payables</t>
  </si>
  <si>
    <t>TWC</t>
  </si>
  <si>
    <t>inventories</t>
  </si>
  <si>
    <t>other op receivables</t>
  </si>
  <si>
    <t>other operating payables</t>
  </si>
  <si>
    <t>NTWC</t>
  </si>
  <si>
    <t>NWC</t>
  </si>
  <si>
    <t>PROVISIONS</t>
  </si>
  <si>
    <t>NET OPERATING INVESTED CAPITAL</t>
  </si>
  <si>
    <t>STRUCTURE GROWTH</t>
  </si>
  <si>
    <t>SURPLUS ASSET</t>
  </si>
  <si>
    <t>Invested Capital</t>
  </si>
  <si>
    <t>equity</t>
  </si>
  <si>
    <t>debt</t>
  </si>
  <si>
    <t>Capital structure</t>
  </si>
  <si>
    <t>FCFF</t>
  </si>
  <si>
    <t>FCFE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</si>
</sst>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(#,##0\);\(_-* &quot;-&quot;??_-;_-@_-\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8"/>
      <color theme="1"/>
      <name val="Aptos Narrow"/>
      <scheme val="minor"/>
    </font>
    <font>
      <i/>
      <sz val="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i/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43" fontId="0" fillId="0" borderId="0" xfId="1" applyFont="1"/>
    <xf numFmtId="0" fontId="7" fillId="0" borderId="0" xfId="0" applyFont="1" applyAlignment="1">
      <alignment horizontal="center"/>
    </xf>
    <xf numFmtId="0" fontId="5" fillId="2" borderId="0" xfId="0" applyFont="1" applyFill="1"/>
    <xf numFmtId="164" fontId="5" fillId="2" borderId="0" xfId="1" applyNumberFormat="1" applyFont="1" applyFill="1"/>
    <xf numFmtId="0" fontId="4" fillId="2" borderId="0" xfId="0" applyFont="1" applyFill="1"/>
    <xf numFmtId="0" fontId="2" fillId="3" borderId="0" xfId="0" applyFont="1" applyFill="1" applyAlignment="1">
      <alignment horizontal="center"/>
    </xf>
    <xf numFmtId="164" fontId="6" fillId="0" borderId="0" xfId="1" applyNumberFormat="1" applyFont="1"/>
    <xf numFmtId="0" fontId="7" fillId="4" borderId="0" xfId="0" applyFont="1" applyFill="1" applyAlignment="1">
      <alignment horizontal="center"/>
    </xf>
    <xf numFmtId="164" fontId="6" fillId="4" borderId="0" xfId="1" applyNumberFormat="1" applyFont="1" applyFill="1"/>
    <xf numFmtId="0" fontId="3" fillId="0" borderId="0" xfId="0" applyFont="1"/>
  </cellXfs>
  <cellStyles count="2">
    <cellStyle name="Migliaia" xfId="1" builtinId="3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88D59-9042-44B1-89F3-2AF117227EB3}">
  <dimension ref="B3:X34"/>
  <sheetViews>
    <sheetView topLeftCell="H1" workbookViewId="0">
      <selection activeCell="R3" sqref="R3:W6"/>
    </sheetView>
  </sheetViews>
  <sheetFormatPr defaultRowHeight="14.4" x14ac:dyDescent="0.3"/>
  <cols>
    <col min="2" max="2" width="16.21875" customWidth="1"/>
    <col min="10" max="10" width="25.109375" customWidth="1"/>
    <col min="11" max="11" width="22.44140625" customWidth="1"/>
    <col min="12" max="16" width="9.44140625" bestFit="1" customWidth="1"/>
  </cols>
  <sheetData>
    <row r="3" spans="2:24" x14ac:dyDescent="0.3">
      <c r="C3" s="6">
        <v>2020</v>
      </c>
      <c r="D3" s="6">
        <f>C3+1</f>
        <v>2021</v>
      </c>
      <c r="E3" s="6">
        <f t="shared" ref="E3:H3" si="0">D3+1</f>
        <v>2022</v>
      </c>
      <c r="F3" s="6">
        <f t="shared" si="0"/>
        <v>2023</v>
      </c>
      <c r="G3" s="6">
        <f t="shared" si="0"/>
        <v>2024</v>
      </c>
      <c r="H3" s="6">
        <f t="shared" si="0"/>
        <v>2025</v>
      </c>
      <c r="K3" s="6">
        <v>2020</v>
      </c>
      <c r="L3" s="6">
        <f>K3+1</f>
        <v>2021</v>
      </c>
      <c r="M3" s="6">
        <f t="shared" ref="M3:P3" si="1">L3+1</f>
        <v>2022</v>
      </c>
      <c r="N3" s="6">
        <f t="shared" si="1"/>
        <v>2023</v>
      </c>
      <c r="O3" s="6">
        <f t="shared" si="1"/>
        <v>2024</v>
      </c>
      <c r="P3" s="6">
        <f t="shared" si="1"/>
        <v>2025</v>
      </c>
    </row>
    <row r="5" spans="2:24" x14ac:dyDescent="0.3">
      <c r="B5" s="2" t="s">
        <v>0</v>
      </c>
      <c r="C5" s="7">
        <v>100</v>
      </c>
      <c r="D5" s="7">
        <f>C5*(1+Hypothesis!$C$3)</f>
        <v>120</v>
      </c>
      <c r="E5" s="7">
        <f>D5*(1+Hypothesis!$C$3)</f>
        <v>144</v>
      </c>
      <c r="F5" s="7">
        <f>E5*(1+Hypothesis!$C$3)</f>
        <v>172.79999999999998</v>
      </c>
      <c r="G5" s="7">
        <f>F5*(1+Hypothesis!$C$3)</f>
        <v>207.35999999999999</v>
      </c>
      <c r="H5" s="7">
        <f>G5*(1+Hypothesis!$C$3)</f>
        <v>248.83199999999997</v>
      </c>
      <c r="J5" s="5" t="s">
        <v>33</v>
      </c>
      <c r="K5" s="4">
        <v>30</v>
      </c>
      <c r="L5" s="4">
        <f>K5*(1+Hypothesis!$F$3)</f>
        <v>32.400000000000006</v>
      </c>
      <c r="M5" s="4">
        <f>L5*(1+Hypothesis!$F$3)</f>
        <v>34.992000000000012</v>
      </c>
      <c r="N5" s="4">
        <f>M5*(1+Hypothesis!$F$3)</f>
        <v>37.791360000000012</v>
      </c>
      <c r="O5" s="4">
        <f>N5*(1+Hypothesis!$F$3)</f>
        <v>40.814668800000014</v>
      </c>
      <c r="P5" s="4">
        <f>O5*(1+Hypothesis!$F$3)</f>
        <v>44.079842304000017</v>
      </c>
      <c r="X5" s="7"/>
    </row>
    <row r="6" spans="2:24" x14ac:dyDescent="0.3">
      <c r="B6" s="2" t="s">
        <v>1</v>
      </c>
      <c r="C6" s="7">
        <f>SUM(C7:C9)</f>
        <v>-50</v>
      </c>
      <c r="D6" s="7">
        <f t="shared" ref="D6:H6" si="2">SUM(D7:D9)</f>
        <v>-57.5</v>
      </c>
      <c r="E6" s="7">
        <f t="shared" si="2"/>
        <v>-66.125</v>
      </c>
      <c r="F6" s="7">
        <f t="shared" si="2"/>
        <v>-76.043749999999989</v>
      </c>
      <c r="G6" s="7">
        <f t="shared" si="2"/>
        <v>-87.450312499999981</v>
      </c>
      <c r="H6" s="7">
        <f t="shared" si="2"/>
        <v>-100.56785937499997</v>
      </c>
      <c r="J6" s="5" t="s">
        <v>34</v>
      </c>
      <c r="K6" s="4">
        <v>12</v>
      </c>
      <c r="L6" s="4">
        <f>K6*(1+Hypothesis!$F$3)</f>
        <v>12.96</v>
      </c>
      <c r="M6" s="4">
        <f>L6*(1+Hypothesis!$F$3)</f>
        <v>13.996800000000002</v>
      </c>
      <c r="N6" s="4">
        <f>M6*(1+Hypothesis!$F$3)</f>
        <v>15.116544000000003</v>
      </c>
      <c r="O6" s="4">
        <f>N6*(1+Hypothesis!$F$3)</f>
        <v>16.325867520000003</v>
      </c>
      <c r="P6" s="4">
        <f>O6*(1+Hypothesis!$F$3)</f>
        <v>17.631936921600005</v>
      </c>
    </row>
    <row r="7" spans="2:24" x14ac:dyDescent="0.3">
      <c r="B7" s="5" t="s">
        <v>3</v>
      </c>
      <c r="C7" s="4">
        <v>-30</v>
      </c>
      <c r="D7" s="4">
        <f>(C7*(1+Hypothesis!$C$4))</f>
        <v>-34.5</v>
      </c>
      <c r="E7" s="4">
        <f>(D7*(1+Hypothesis!$C$4))</f>
        <v>-39.674999999999997</v>
      </c>
      <c r="F7" s="4">
        <f>(E7*(1+Hypothesis!$C$4))</f>
        <v>-45.626249999999992</v>
      </c>
      <c r="G7" s="4">
        <f>(F7*(1+Hypothesis!$C$4))</f>
        <v>-52.470187499999987</v>
      </c>
      <c r="H7" s="4">
        <f>(G7*(1+Hypothesis!$C$4))</f>
        <v>-60.34071562499998</v>
      </c>
      <c r="J7" s="5" t="s">
        <v>35</v>
      </c>
      <c r="K7" s="4">
        <v>8</v>
      </c>
      <c r="L7" s="4">
        <f>K7*(1+Hypothesis!$F$3)</f>
        <v>8.64</v>
      </c>
      <c r="M7" s="4">
        <f>L7*(1+Hypothesis!$F$3)</f>
        <v>9.3312000000000008</v>
      </c>
      <c r="N7" s="4">
        <f>M7*(1+Hypothesis!$F$3)</f>
        <v>10.077696000000001</v>
      </c>
      <c r="O7" s="4">
        <f>N7*(1+Hypothesis!$F$3)</f>
        <v>10.883911680000002</v>
      </c>
      <c r="P7" s="4">
        <f>O7*(1+Hypothesis!$F$3)</f>
        <v>11.754624614400003</v>
      </c>
    </row>
    <row r="8" spans="2:24" x14ac:dyDescent="0.3">
      <c r="B8" s="5" t="s">
        <v>4</v>
      </c>
      <c r="C8" s="4">
        <v>-10</v>
      </c>
      <c r="D8" s="4">
        <f>(C8*(1+Hypothesis!$C$4))</f>
        <v>-11.5</v>
      </c>
      <c r="E8" s="4">
        <f>(D8*(1+Hypothesis!$C$4))</f>
        <v>-13.225</v>
      </c>
      <c r="F8" s="4">
        <f>(E8*(1+Hypothesis!$C$4))</f>
        <v>-15.208749999999998</v>
      </c>
      <c r="G8" s="4">
        <f>(F8*(1+Hypothesis!$C$4))</f>
        <v>-17.490062499999997</v>
      </c>
      <c r="H8" s="4">
        <f>(G8*(1+Hypothesis!$C$4))</f>
        <v>-20.113571874999995</v>
      </c>
      <c r="J8" s="2" t="s">
        <v>32</v>
      </c>
      <c r="K8" s="7">
        <f>SUM(K5:K7)</f>
        <v>50</v>
      </c>
      <c r="L8" s="7">
        <f t="shared" ref="L8:P8" si="3">SUM(L5:L7)</f>
        <v>54.000000000000007</v>
      </c>
      <c r="M8" s="7">
        <f t="shared" si="3"/>
        <v>58.320000000000014</v>
      </c>
      <c r="N8" s="7">
        <f t="shared" si="3"/>
        <v>62.985600000000019</v>
      </c>
      <c r="O8" s="7">
        <f t="shared" si="3"/>
        <v>68.024448000000021</v>
      </c>
      <c r="P8" s="7">
        <f t="shared" si="3"/>
        <v>73.466403840000027</v>
      </c>
    </row>
    <row r="9" spans="2:24" x14ac:dyDescent="0.3">
      <c r="B9" s="5" t="s">
        <v>5</v>
      </c>
      <c r="C9" s="4">
        <v>-10</v>
      </c>
      <c r="D9" s="4">
        <f>(C9*(1+Hypothesis!$C$4))</f>
        <v>-11.5</v>
      </c>
      <c r="E9" s="4">
        <f>(D9*(1+Hypothesis!$C$4))</f>
        <v>-13.225</v>
      </c>
      <c r="F9" s="4">
        <f>(E9*(1+Hypothesis!$C$4))</f>
        <v>-15.208749999999998</v>
      </c>
      <c r="G9" s="4">
        <f>(F9*(1+Hypothesis!$C$4))</f>
        <v>-17.490062499999997</v>
      </c>
      <c r="H9" s="4">
        <f>(G9*(1+Hypothesis!$C$4))</f>
        <v>-20.113571874999995</v>
      </c>
      <c r="J9" s="5" t="s">
        <v>36</v>
      </c>
      <c r="K9" s="4">
        <v>25</v>
      </c>
      <c r="L9" s="4">
        <f>K9*(1+Hypothesis!$F$3)</f>
        <v>27</v>
      </c>
      <c r="M9" s="4">
        <f>L9*(1+Hypothesis!$F$3)</f>
        <v>29.160000000000004</v>
      </c>
      <c r="N9" s="4">
        <f>M9*(1+Hypothesis!$F$3)</f>
        <v>31.492800000000006</v>
      </c>
      <c r="O9" s="4">
        <f>N9*(1+Hypothesis!$F$3)</f>
        <v>34.01222400000001</v>
      </c>
      <c r="P9" s="4">
        <f>O9*(1+Hypothesis!$F$3)</f>
        <v>36.733201920000013</v>
      </c>
    </row>
    <row r="10" spans="2:24" x14ac:dyDescent="0.3">
      <c r="B10" s="2" t="s">
        <v>2</v>
      </c>
      <c r="C10" s="7">
        <f>C5+C6</f>
        <v>50</v>
      </c>
      <c r="D10" s="7">
        <f t="shared" ref="D10:H10" si="4">D5+D6</f>
        <v>62.5</v>
      </c>
      <c r="E10" s="7">
        <f t="shared" si="4"/>
        <v>77.875</v>
      </c>
      <c r="F10" s="7">
        <f t="shared" si="4"/>
        <v>96.756249999999994</v>
      </c>
      <c r="G10" s="7">
        <f t="shared" si="4"/>
        <v>119.9096875</v>
      </c>
      <c r="H10" s="7">
        <f t="shared" si="4"/>
        <v>148.26414062499998</v>
      </c>
      <c r="J10" s="5" t="s">
        <v>37</v>
      </c>
      <c r="K10" s="4">
        <v>-16</v>
      </c>
      <c r="L10" s="4">
        <f>K10*(1+Hypothesis!$F$3)</f>
        <v>-17.28</v>
      </c>
      <c r="M10" s="4">
        <f>L10*(1+Hypothesis!$F$3)</f>
        <v>-18.662400000000002</v>
      </c>
      <c r="N10" s="4">
        <f>M10*(1+Hypothesis!$F$3)</f>
        <v>-20.155392000000003</v>
      </c>
      <c r="O10" s="4">
        <f>N10*(1+Hypothesis!$F$3)</f>
        <v>-21.767823360000005</v>
      </c>
      <c r="P10" s="4">
        <f>O10*(1+Hypothesis!$F$3)</f>
        <v>-23.509249228800005</v>
      </c>
    </row>
    <row r="11" spans="2:24" x14ac:dyDescent="0.3">
      <c r="B11" s="2" t="s">
        <v>8</v>
      </c>
      <c r="C11" s="7">
        <f>SUM(C12:C18)</f>
        <v>-19</v>
      </c>
      <c r="D11" s="7">
        <f t="shared" ref="D11:H11" si="5">SUM(D12:D18)</f>
        <v>-21.85</v>
      </c>
      <c r="E11" s="7">
        <f t="shared" si="5"/>
        <v>-25.127499999999998</v>
      </c>
      <c r="F11" s="7">
        <f t="shared" si="5"/>
        <v>-28.896624999999993</v>
      </c>
      <c r="G11" s="7">
        <f t="shared" si="5"/>
        <v>-33.231118749999993</v>
      </c>
      <c r="H11" s="7">
        <f t="shared" si="5"/>
        <v>-38.215786562499986</v>
      </c>
      <c r="J11" s="2" t="s">
        <v>38</v>
      </c>
      <c r="K11" s="7">
        <f>SUM(K9:K10)</f>
        <v>9</v>
      </c>
      <c r="L11" s="7">
        <f t="shared" ref="L11:P11" si="6">SUM(L9:L10)</f>
        <v>9.7199999999999989</v>
      </c>
      <c r="M11" s="7">
        <f t="shared" si="6"/>
        <v>10.497600000000002</v>
      </c>
      <c r="N11" s="7">
        <f t="shared" si="6"/>
        <v>11.337408000000003</v>
      </c>
      <c r="O11" s="7">
        <f t="shared" si="6"/>
        <v>12.244400640000006</v>
      </c>
      <c r="P11" s="7">
        <f t="shared" si="6"/>
        <v>13.223952691200008</v>
      </c>
    </row>
    <row r="12" spans="2:24" x14ac:dyDescent="0.3">
      <c r="B12" s="5" t="s">
        <v>9</v>
      </c>
      <c r="C12" s="4">
        <v>-5</v>
      </c>
      <c r="D12" s="4">
        <f>(C12*(1+Hypothesis!$C$4))</f>
        <v>-5.75</v>
      </c>
      <c r="E12" s="4">
        <f>(D12*(1+Hypothesis!$C$4))</f>
        <v>-6.6124999999999998</v>
      </c>
      <c r="F12" s="4">
        <f>(E12*(1+Hypothesis!$C$4))</f>
        <v>-7.6043749999999992</v>
      </c>
      <c r="G12" s="4">
        <f>(F12*(1+Hypothesis!$C$4))</f>
        <v>-8.7450312499999985</v>
      </c>
      <c r="H12" s="4">
        <f>(G12*(1+Hypothesis!$C$4))</f>
        <v>-10.056785937499997</v>
      </c>
      <c r="J12" s="5" t="s">
        <v>39</v>
      </c>
      <c r="K12" s="4">
        <v>5</v>
      </c>
      <c r="L12" s="4">
        <f>K12*(1+Hypothesis!$F$3)</f>
        <v>5.4</v>
      </c>
      <c r="M12" s="4">
        <f>L12*(1+Hypothesis!$F$3)</f>
        <v>5.8320000000000007</v>
      </c>
      <c r="N12" s="4">
        <f>M12*(1+Hypothesis!$F$3)</f>
        <v>6.298560000000001</v>
      </c>
      <c r="O12" s="4">
        <f>N12*(1+Hypothesis!$F$3)</f>
        <v>6.8024448000000017</v>
      </c>
      <c r="P12" s="4">
        <f>O12*(1+Hypothesis!$F$3)</f>
        <v>7.3466403840000023</v>
      </c>
    </row>
    <row r="13" spans="2:24" x14ac:dyDescent="0.3">
      <c r="B13" s="5" t="s">
        <v>10</v>
      </c>
      <c r="C13" s="4">
        <v>-2</v>
      </c>
      <c r="D13" s="4">
        <f>(C13*(1+Hypothesis!$C$4))</f>
        <v>-2.2999999999999998</v>
      </c>
      <c r="E13" s="4">
        <f>(D13*(1+Hypothesis!$C$4))</f>
        <v>-2.6449999999999996</v>
      </c>
      <c r="F13" s="4">
        <f>(E13*(1+Hypothesis!$C$4))</f>
        <v>-3.0417499999999991</v>
      </c>
      <c r="G13" s="4">
        <f>(F13*(1+Hypothesis!$C$4))</f>
        <v>-3.4980124999999989</v>
      </c>
      <c r="H13" s="4">
        <f>(G13*(1+Hypothesis!$C$4))</f>
        <v>-4.0227143749999987</v>
      </c>
      <c r="J13" s="5" t="s">
        <v>40</v>
      </c>
      <c r="K13" s="4">
        <v>4</v>
      </c>
      <c r="L13" s="4">
        <f>K13*(1+Hypothesis!$F$3)</f>
        <v>4.32</v>
      </c>
      <c r="M13" s="4">
        <f>L13*(1+Hypothesis!$F$3)</f>
        <v>4.6656000000000004</v>
      </c>
      <c r="N13" s="4">
        <f>M13*(1+Hypothesis!$F$3)</f>
        <v>5.0388480000000007</v>
      </c>
      <c r="O13" s="4">
        <f>N13*(1+Hypothesis!$F$3)</f>
        <v>5.4419558400000012</v>
      </c>
      <c r="P13" s="4">
        <f>O13*(1+Hypothesis!$F$3)</f>
        <v>5.8773123072000013</v>
      </c>
    </row>
    <row r="14" spans="2:24" x14ac:dyDescent="0.3">
      <c r="B14" s="5" t="s">
        <v>11</v>
      </c>
      <c r="C14" s="4">
        <v>-2</v>
      </c>
      <c r="D14" s="4">
        <f>(C14*(1+Hypothesis!$C$4))</f>
        <v>-2.2999999999999998</v>
      </c>
      <c r="E14" s="4">
        <f>(D14*(1+Hypothesis!$C$4))</f>
        <v>-2.6449999999999996</v>
      </c>
      <c r="F14" s="4">
        <f>(E14*(1+Hypothesis!$C$4))</f>
        <v>-3.0417499999999991</v>
      </c>
      <c r="G14" s="4">
        <f>(F14*(1+Hypothesis!$C$4))</f>
        <v>-3.4980124999999989</v>
      </c>
      <c r="H14" s="4">
        <f>(G14*(1+Hypothesis!$C$4))</f>
        <v>-4.0227143749999987</v>
      </c>
      <c r="J14" s="5" t="s">
        <v>41</v>
      </c>
      <c r="K14" s="4">
        <v>-1.8</v>
      </c>
      <c r="L14" s="4">
        <f>K14*(1+Hypothesis!$F$3)</f>
        <v>-1.9440000000000002</v>
      </c>
      <c r="M14" s="4">
        <f>L14*(1+Hypothesis!$F$3)</f>
        <v>-2.0995200000000005</v>
      </c>
      <c r="N14" s="4">
        <f>M14*(1+Hypothesis!$F$3)</f>
        <v>-2.2674816000000009</v>
      </c>
      <c r="O14" s="4">
        <f>N14*(1+Hypothesis!$F$3)</f>
        <v>-2.4488801280000012</v>
      </c>
      <c r="P14" s="4">
        <f>O14*(1+Hypothesis!$F$3)</f>
        <v>-2.6447905382400014</v>
      </c>
    </row>
    <row r="15" spans="2:24" x14ac:dyDescent="0.3">
      <c r="B15" s="5" t="s">
        <v>12</v>
      </c>
      <c r="C15" s="4">
        <v>-3</v>
      </c>
      <c r="D15" s="4">
        <f>(C15*(1+Hypothesis!$C$4))</f>
        <v>-3.4499999999999997</v>
      </c>
      <c r="E15" s="4">
        <f>(D15*(1+Hypothesis!$C$4))</f>
        <v>-3.9674999999999994</v>
      </c>
      <c r="F15" s="4">
        <f>(E15*(1+Hypothesis!$C$4))</f>
        <v>-4.5626249999999988</v>
      </c>
      <c r="G15" s="4">
        <f>(F15*(1+Hypothesis!$C$4))</f>
        <v>-5.2470187499999978</v>
      </c>
      <c r="H15" s="4">
        <f>(G15*(1+Hypothesis!$C$4))</f>
        <v>-6.0340715624999968</v>
      </c>
      <c r="J15" s="2" t="s">
        <v>42</v>
      </c>
      <c r="K15" s="7">
        <f>SUM(K12:K14)</f>
        <v>7.2</v>
      </c>
      <c r="L15" s="7">
        <f t="shared" ref="L15:P15" si="7">SUM(L12:L14)</f>
        <v>7.7760000000000007</v>
      </c>
      <c r="M15" s="7">
        <f t="shared" si="7"/>
        <v>8.398080000000002</v>
      </c>
      <c r="N15" s="7">
        <f t="shared" si="7"/>
        <v>9.0699263999999999</v>
      </c>
      <c r="O15" s="7">
        <f t="shared" si="7"/>
        <v>9.7955205120000013</v>
      </c>
      <c r="P15" s="7">
        <f t="shared" si="7"/>
        <v>10.579162152960002</v>
      </c>
    </row>
    <row r="16" spans="2:24" x14ac:dyDescent="0.3">
      <c r="B16" s="5" t="s">
        <v>13</v>
      </c>
      <c r="C16" s="4">
        <v>-1</v>
      </c>
      <c r="D16" s="4">
        <f>(C16*(1+Hypothesis!$C$4))</f>
        <v>-1.1499999999999999</v>
      </c>
      <c r="E16" s="4">
        <f>(D16*(1+Hypothesis!$C$4))</f>
        <v>-1.3224999999999998</v>
      </c>
      <c r="F16" s="4">
        <f>(E16*(1+Hypothesis!$C$4))</f>
        <v>-1.5208749999999995</v>
      </c>
      <c r="G16" s="4">
        <f>(F16*(1+Hypothesis!$C$4))</f>
        <v>-1.7490062499999994</v>
      </c>
      <c r="H16" s="4">
        <f>(G16*(1+Hypothesis!$C$4))</f>
        <v>-2.0113571874999994</v>
      </c>
      <c r="J16" s="2" t="s">
        <v>43</v>
      </c>
      <c r="K16" s="7">
        <f>K11+K15</f>
        <v>16.2</v>
      </c>
      <c r="L16" s="7">
        <f t="shared" ref="L16:P16" si="8">L11+L15</f>
        <v>17.495999999999999</v>
      </c>
      <c r="M16" s="7">
        <f t="shared" si="8"/>
        <v>18.895680000000006</v>
      </c>
      <c r="N16" s="7">
        <f t="shared" si="8"/>
        <v>20.407334400000003</v>
      </c>
      <c r="O16" s="7">
        <f t="shared" si="8"/>
        <v>22.039921152000005</v>
      </c>
      <c r="P16" s="7">
        <f t="shared" si="8"/>
        <v>23.80311484416001</v>
      </c>
    </row>
    <row r="17" spans="2:16" x14ac:dyDescent="0.3">
      <c r="B17" s="5" t="s">
        <v>14</v>
      </c>
      <c r="C17" s="4">
        <v>-4</v>
      </c>
      <c r="D17" s="4">
        <f>(C17*(1+Hypothesis!$C$4))</f>
        <v>-4.5999999999999996</v>
      </c>
      <c r="E17" s="4">
        <f>(D17*(1+Hypothesis!$C$4))</f>
        <v>-5.2899999999999991</v>
      </c>
      <c r="F17" s="4">
        <f>(E17*(1+Hypothesis!$C$4))</f>
        <v>-6.0834999999999981</v>
      </c>
      <c r="G17" s="4">
        <f>(F17*(1+Hypothesis!$C$4))</f>
        <v>-6.9960249999999977</v>
      </c>
      <c r="H17" s="4">
        <f>(G17*(1+Hypothesis!$C$4))</f>
        <v>-8.0454287499999975</v>
      </c>
      <c r="J17" s="2" t="s">
        <v>44</v>
      </c>
      <c r="K17" s="7">
        <v>-3</v>
      </c>
      <c r="L17" s="7">
        <f>K17*(1+Hypothesis!$F$3)</f>
        <v>-3.24</v>
      </c>
      <c r="M17" s="7">
        <f>L17*(1+Hypothesis!$F$3)</f>
        <v>-3.4992000000000005</v>
      </c>
      <c r="N17" s="7">
        <f>M17*(1+Hypothesis!$F$3)</f>
        <v>-3.7791360000000007</v>
      </c>
      <c r="O17" s="7">
        <f>N17*(1+Hypothesis!$F$3)</f>
        <v>-4.0814668800000007</v>
      </c>
      <c r="P17" s="7">
        <f>O17*(1+Hypothesis!$F$3)</f>
        <v>-4.4079842304000012</v>
      </c>
    </row>
    <row r="18" spans="2:16" x14ac:dyDescent="0.3">
      <c r="B18" s="5" t="s">
        <v>15</v>
      </c>
      <c r="C18" s="4">
        <v>-2</v>
      </c>
      <c r="D18" s="4">
        <f>(C18*(1+Hypothesis!$C$4))</f>
        <v>-2.2999999999999998</v>
      </c>
      <c r="E18" s="4">
        <f>(D18*(1+Hypothesis!$C$4))</f>
        <v>-2.6449999999999996</v>
      </c>
      <c r="F18" s="4">
        <f>(E18*(1+Hypothesis!$C$4))</f>
        <v>-3.0417499999999991</v>
      </c>
      <c r="G18" s="4">
        <f>(F18*(1+Hypothesis!$C$4))</f>
        <v>-3.4980124999999989</v>
      </c>
      <c r="H18" s="4">
        <f>(G18*(1+Hypothesis!$C$4))</f>
        <v>-4.0227143749999987</v>
      </c>
      <c r="J18" s="2" t="s">
        <v>45</v>
      </c>
      <c r="K18" s="7">
        <f>K8+K16+K17</f>
        <v>63.2</v>
      </c>
      <c r="L18" s="7">
        <f t="shared" ref="L18:P18" si="9">L8+L16+L17</f>
        <v>68.256000000000014</v>
      </c>
      <c r="M18" s="7">
        <f t="shared" si="9"/>
        <v>73.716480000000018</v>
      </c>
      <c r="N18" s="7">
        <f t="shared" si="9"/>
        <v>79.613798400000036</v>
      </c>
      <c r="O18" s="7">
        <f t="shared" si="9"/>
        <v>85.982902272000018</v>
      </c>
      <c r="P18" s="7">
        <f t="shared" si="9"/>
        <v>92.861534453760029</v>
      </c>
    </row>
    <row r="19" spans="2:16" x14ac:dyDescent="0.3">
      <c r="B19" s="2" t="s">
        <v>16</v>
      </c>
      <c r="C19" s="7">
        <f>C10+C11</f>
        <v>31</v>
      </c>
      <c r="D19" s="7">
        <f t="shared" ref="D19:H19" si="10">D10+D11</f>
        <v>40.65</v>
      </c>
      <c r="E19" s="7">
        <f t="shared" si="10"/>
        <v>52.747500000000002</v>
      </c>
      <c r="F19" s="7">
        <f t="shared" si="10"/>
        <v>67.859624999999994</v>
      </c>
      <c r="G19" s="7">
        <f t="shared" si="10"/>
        <v>86.678568750000011</v>
      </c>
      <c r="H19" s="7">
        <f t="shared" si="10"/>
        <v>110.0483540625</v>
      </c>
      <c r="J19" s="2" t="s">
        <v>47</v>
      </c>
      <c r="K19" s="7">
        <v>7</v>
      </c>
      <c r="L19" s="7">
        <f>K19*(1+Hypothesis!$F$3)</f>
        <v>7.5600000000000005</v>
      </c>
      <c r="M19" s="7">
        <f>L19*(1+Hypothesis!$F$3)</f>
        <v>8.1648000000000014</v>
      </c>
      <c r="N19" s="7">
        <f>M19*(1+Hypothesis!$F$3)</f>
        <v>8.8179840000000027</v>
      </c>
      <c r="O19" s="7">
        <f>N19*(1+Hypothesis!$F$3)</f>
        <v>9.5234227200000028</v>
      </c>
      <c r="P19" s="7">
        <f>O19*(1+Hypothesis!$F$3)</f>
        <v>10.285296537600004</v>
      </c>
    </row>
    <row r="20" spans="2:16" x14ac:dyDescent="0.3">
      <c r="B20" s="2" t="s">
        <v>26</v>
      </c>
      <c r="C20" s="7">
        <f>SUM(C21:C24)</f>
        <v>-8.5</v>
      </c>
      <c r="D20" s="7">
        <f t="shared" ref="D20:H20" si="11">SUM(D21:D24)</f>
        <v>-9.7750000000000004</v>
      </c>
      <c r="E20" s="7">
        <f t="shared" si="11"/>
        <v>-11.241249999999999</v>
      </c>
      <c r="F20" s="7">
        <f t="shared" si="11"/>
        <v>-12.927437499999996</v>
      </c>
      <c r="G20" s="7">
        <f t="shared" si="11"/>
        <v>-14.866553124999996</v>
      </c>
      <c r="H20" s="7">
        <f t="shared" si="11"/>
        <v>-17.096536093749993</v>
      </c>
      <c r="J20" s="8" t="s">
        <v>48</v>
      </c>
      <c r="K20" s="9">
        <f>K18+K19</f>
        <v>70.2</v>
      </c>
      <c r="L20" s="9">
        <f t="shared" ref="L20:P20" si="12">L18+L19</f>
        <v>75.816000000000017</v>
      </c>
      <c r="M20" s="9">
        <f t="shared" si="12"/>
        <v>81.881280000000018</v>
      </c>
      <c r="N20" s="9">
        <f t="shared" si="12"/>
        <v>88.431782400000031</v>
      </c>
      <c r="O20" s="9">
        <f t="shared" si="12"/>
        <v>95.506324992000017</v>
      </c>
      <c r="P20" s="9">
        <f t="shared" si="12"/>
        <v>103.14683099136003</v>
      </c>
    </row>
    <row r="21" spans="2:16" x14ac:dyDescent="0.3">
      <c r="B21" s="3" t="s">
        <v>17</v>
      </c>
      <c r="C21" s="4">
        <v>-2</v>
      </c>
      <c r="D21" s="4">
        <f>(C21*(1+Hypothesis!$C$4))</f>
        <v>-2.2999999999999998</v>
      </c>
      <c r="E21" s="4">
        <f>(D21*(1+Hypothesis!$C$4))</f>
        <v>-2.6449999999999996</v>
      </c>
      <c r="F21" s="4">
        <f>(E21*(1+Hypothesis!$C$4))</f>
        <v>-3.0417499999999991</v>
      </c>
      <c r="G21" s="4">
        <f>(F21*(1+Hypothesis!$C$4))</f>
        <v>-3.4980124999999989</v>
      </c>
      <c r="H21" s="4">
        <f>(G21*(1+Hypothesis!$C$4))</f>
        <v>-4.0227143749999987</v>
      </c>
      <c r="J21" s="2" t="s">
        <v>49</v>
      </c>
      <c r="K21" s="7">
        <v>55</v>
      </c>
      <c r="L21" s="7">
        <f>K21*(1+Hypothesis!$F$3)</f>
        <v>59.400000000000006</v>
      </c>
      <c r="M21" s="7">
        <f>L21*(1+Hypothesis!$F$3)</f>
        <v>64.152000000000015</v>
      </c>
      <c r="N21" s="7">
        <f>M21*(1+Hypothesis!$F$3)</f>
        <v>69.284160000000014</v>
      </c>
      <c r="O21" s="7">
        <f>N21*(1+Hypothesis!$F$3)</f>
        <v>74.826892800000024</v>
      </c>
      <c r="P21" s="7">
        <f>O21*(1+Hypothesis!$F$3)</f>
        <v>80.813044224000038</v>
      </c>
    </row>
    <row r="22" spans="2:16" x14ac:dyDescent="0.3">
      <c r="B22" s="3" t="s">
        <v>18</v>
      </c>
      <c r="C22" s="4">
        <v>-4</v>
      </c>
      <c r="D22" s="4">
        <f>(C22*(1+Hypothesis!$C$4))</f>
        <v>-4.5999999999999996</v>
      </c>
      <c r="E22" s="4">
        <f>(D22*(1+Hypothesis!$C$4))</f>
        <v>-5.2899999999999991</v>
      </c>
      <c r="F22" s="4">
        <f>(E22*(1+Hypothesis!$C$4))</f>
        <v>-6.0834999999999981</v>
      </c>
      <c r="G22" s="4">
        <f>(F22*(1+Hypothesis!$C$4))</f>
        <v>-6.9960249999999977</v>
      </c>
      <c r="H22" s="4">
        <f>(G22*(1+Hypothesis!$C$4))</f>
        <v>-8.0454287499999975</v>
      </c>
      <c r="J22" s="2" t="s">
        <v>50</v>
      </c>
      <c r="K22" s="7">
        <v>15.200000000000003</v>
      </c>
      <c r="L22" s="7">
        <f>K22*(1+Hypothesis!$F$3)</f>
        <v>16.416000000000004</v>
      </c>
      <c r="M22" s="7">
        <f>L22*(1+Hypothesis!$F$3)</f>
        <v>17.729280000000006</v>
      </c>
      <c r="N22" s="7">
        <f>M22*(1+Hypothesis!$F$3)</f>
        <v>19.147622400000007</v>
      </c>
      <c r="O22" s="7">
        <f>N22*(1+Hypothesis!$F$3)</f>
        <v>20.679432192000007</v>
      </c>
      <c r="P22" s="7">
        <f>O22*(1+Hypothesis!$F$3)</f>
        <v>22.33378676736001</v>
      </c>
    </row>
    <row r="23" spans="2:16" x14ac:dyDescent="0.3">
      <c r="B23" s="3" t="s">
        <v>19</v>
      </c>
      <c r="C23" s="4">
        <v>-1.5</v>
      </c>
      <c r="D23" s="4">
        <f>(C23*(1+Hypothesis!$C$4))</f>
        <v>-1.7249999999999999</v>
      </c>
      <c r="E23" s="4">
        <f>(D23*(1+Hypothesis!$C$4))</f>
        <v>-1.9837499999999997</v>
      </c>
      <c r="F23" s="4">
        <f>(E23*(1+Hypothesis!$C$4))</f>
        <v>-2.2813124999999994</v>
      </c>
      <c r="G23" s="4">
        <f>(F23*(1+Hypothesis!$C$4))</f>
        <v>-2.6235093749999989</v>
      </c>
      <c r="H23" s="4">
        <f>(G23*(1+Hypothesis!$C$4))</f>
        <v>-3.0170357812499984</v>
      </c>
      <c r="J23" s="8" t="s">
        <v>51</v>
      </c>
      <c r="K23" s="9">
        <f>K21+K22</f>
        <v>70.2</v>
      </c>
      <c r="L23" s="9">
        <f t="shared" ref="L23:P23" si="13">L21+L22</f>
        <v>75.816000000000003</v>
      </c>
      <c r="M23" s="9">
        <f t="shared" si="13"/>
        <v>81.881280000000018</v>
      </c>
      <c r="N23" s="9">
        <f t="shared" si="13"/>
        <v>88.431782400000017</v>
      </c>
      <c r="O23" s="9">
        <f t="shared" si="13"/>
        <v>95.506324992000032</v>
      </c>
      <c r="P23" s="9">
        <f t="shared" si="13"/>
        <v>103.14683099136005</v>
      </c>
    </row>
    <row r="24" spans="2:16" x14ac:dyDescent="0.3">
      <c r="B24" s="3" t="s">
        <v>20</v>
      </c>
      <c r="C24" s="4">
        <v>-1</v>
      </c>
      <c r="D24" s="4">
        <f>(C24*(1+Hypothesis!$C$4))</f>
        <v>-1.1499999999999999</v>
      </c>
      <c r="E24" s="4">
        <f>(D24*(1+Hypothesis!$C$4))</f>
        <v>-1.3224999999999998</v>
      </c>
      <c r="F24" s="4">
        <f>(E24*(1+Hypothesis!$C$4))</f>
        <v>-1.5208749999999995</v>
      </c>
      <c r="G24" s="4">
        <f>(F24*(1+Hypothesis!$C$4))</f>
        <v>-1.7490062499999994</v>
      </c>
      <c r="H24" s="4">
        <f>(G24*(1+Hypothesis!$C$4))</f>
        <v>-2.0113571874999994</v>
      </c>
    </row>
    <row r="25" spans="2:16" x14ac:dyDescent="0.3">
      <c r="B25" s="2" t="s">
        <v>21</v>
      </c>
      <c r="C25" s="7">
        <f>C19+C20</f>
        <v>22.5</v>
      </c>
      <c r="D25" s="7">
        <f t="shared" ref="D25:H25" si="14">D19+D20</f>
        <v>30.875</v>
      </c>
      <c r="E25" s="7">
        <f t="shared" si="14"/>
        <v>41.506250000000001</v>
      </c>
      <c r="F25" s="7">
        <f t="shared" si="14"/>
        <v>54.932187499999998</v>
      </c>
      <c r="G25" s="7">
        <f t="shared" si="14"/>
        <v>71.812015625000015</v>
      </c>
      <c r="H25" s="7">
        <f t="shared" si="14"/>
        <v>92.951817968750007</v>
      </c>
    </row>
    <row r="26" spans="2:16" x14ac:dyDescent="0.3">
      <c r="B26" s="2" t="s">
        <v>25</v>
      </c>
      <c r="C26" s="7">
        <f>SUM(C27:C29)</f>
        <v>-1.8</v>
      </c>
      <c r="D26" s="7">
        <f t="shared" ref="D26:H26" si="15">SUM(D27:D29)</f>
        <v>-2.0099999999999998</v>
      </c>
      <c r="E26" s="7">
        <f t="shared" si="15"/>
        <v>-2.2394999999999996</v>
      </c>
      <c r="F26" s="7">
        <f t="shared" si="15"/>
        <v>-2.4890249999999989</v>
      </c>
      <c r="G26" s="7">
        <f t="shared" si="15"/>
        <v>-2.7586987499999989</v>
      </c>
      <c r="H26" s="7">
        <f t="shared" si="15"/>
        <v>-3.0480875624999979</v>
      </c>
    </row>
    <row r="27" spans="2:16" x14ac:dyDescent="0.3">
      <c r="B27" s="3" t="s">
        <v>22</v>
      </c>
      <c r="C27" s="4">
        <v>-2</v>
      </c>
      <c r="D27" s="4">
        <f>(C27*(1+Hypothesis!$C$4))</f>
        <v>-2.2999999999999998</v>
      </c>
      <c r="E27" s="4">
        <f>(D27*(1+Hypothesis!$C$4))</f>
        <v>-2.6449999999999996</v>
      </c>
      <c r="F27" s="4">
        <f>(E27*(1+Hypothesis!$C$4))</f>
        <v>-3.0417499999999991</v>
      </c>
      <c r="G27" s="4">
        <f>(F27*(1+Hypothesis!$C$4))</f>
        <v>-3.4980124999999989</v>
      </c>
      <c r="H27" s="4">
        <f>(G27*(1+Hypothesis!$C$4))</f>
        <v>-4.0227143749999987</v>
      </c>
    </row>
    <row r="28" spans="2:16" x14ac:dyDescent="0.3">
      <c r="B28" s="3" t="s">
        <v>23</v>
      </c>
      <c r="C28" s="4">
        <v>-1</v>
      </c>
      <c r="D28" s="4">
        <f>(C28*(1+Hypothesis!$C$4))</f>
        <v>-1.1499999999999999</v>
      </c>
      <c r="E28" s="4">
        <f>(D28*(1+Hypothesis!$C$4))</f>
        <v>-1.3224999999999998</v>
      </c>
      <c r="F28" s="4">
        <f>(E28*(1+Hypothesis!$C$4))</f>
        <v>-1.5208749999999995</v>
      </c>
      <c r="G28" s="4">
        <f>(F28*(1+Hypothesis!$C$4))</f>
        <v>-1.7490062499999994</v>
      </c>
      <c r="H28" s="4">
        <f>(G28*(1+Hypothesis!$C$4))</f>
        <v>-2.0113571874999994</v>
      </c>
    </row>
    <row r="29" spans="2:16" x14ac:dyDescent="0.3">
      <c r="B29" s="3" t="s">
        <v>24</v>
      </c>
      <c r="C29" s="4">
        <v>1.2</v>
      </c>
      <c r="D29" s="4">
        <f>(C29*(1+Hypothesis!$C$3))</f>
        <v>1.44</v>
      </c>
      <c r="E29" s="4">
        <f>(D29*(1+Hypothesis!$C$3))</f>
        <v>1.728</v>
      </c>
      <c r="F29" s="4">
        <f>(E29*(1+Hypothesis!$C$3))</f>
        <v>2.0735999999999999</v>
      </c>
      <c r="G29" s="4">
        <f>(F29*(1+Hypothesis!$C$3))</f>
        <v>2.4883199999999999</v>
      </c>
      <c r="H29" s="4">
        <f>(G29*(1+Hypothesis!$C$3))</f>
        <v>2.9859839999999997</v>
      </c>
    </row>
    <row r="30" spans="2:16" x14ac:dyDescent="0.3">
      <c r="B30" s="2" t="s">
        <v>28</v>
      </c>
      <c r="C30" s="7">
        <f>C25+C26</f>
        <v>20.7</v>
      </c>
      <c r="D30" s="7">
        <f t="shared" ref="D30:H30" si="16">D25+D26</f>
        <v>28.865000000000002</v>
      </c>
      <c r="E30" s="7">
        <f t="shared" si="16"/>
        <v>39.266750000000002</v>
      </c>
      <c r="F30" s="7">
        <f t="shared" si="16"/>
        <v>52.4431625</v>
      </c>
      <c r="G30" s="7">
        <f t="shared" si="16"/>
        <v>69.053316875000021</v>
      </c>
      <c r="H30" s="7">
        <f t="shared" si="16"/>
        <v>89.903730406250006</v>
      </c>
    </row>
    <row r="31" spans="2:16" x14ac:dyDescent="0.3">
      <c r="B31" s="2" t="s">
        <v>29</v>
      </c>
      <c r="C31" s="7">
        <v>-3</v>
      </c>
      <c r="D31" s="7">
        <f>(C31*(1+Hypothesis!$C$4))</f>
        <v>-3.4499999999999997</v>
      </c>
      <c r="E31" s="7">
        <f>(D31*(1+Hypothesis!$C$4))</f>
        <v>-3.9674999999999994</v>
      </c>
      <c r="F31" s="7">
        <f>(E31*(1+Hypothesis!$C$4))</f>
        <v>-4.5626249999999988</v>
      </c>
      <c r="G31" s="7">
        <f>(F31*(1+Hypothesis!$C$4))</f>
        <v>-5.2470187499999978</v>
      </c>
      <c r="H31" s="7">
        <f>(G31*(1+Hypothesis!$C$4))</f>
        <v>-6.0340715624999968</v>
      </c>
    </row>
    <row r="32" spans="2:16" x14ac:dyDescent="0.3">
      <c r="B32" s="2" t="s">
        <v>27</v>
      </c>
      <c r="C32" s="7">
        <f>C30+C31</f>
        <v>17.7</v>
      </c>
      <c r="D32" s="7">
        <f t="shared" ref="D32:H32" si="17">D30+D31</f>
        <v>25.415000000000003</v>
      </c>
      <c r="E32" s="7">
        <f t="shared" si="17"/>
        <v>35.299250000000001</v>
      </c>
      <c r="F32" s="7">
        <f t="shared" si="17"/>
        <v>47.880537500000003</v>
      </c>
      <c r="G32" s="7">
        <f t="shared" si="17"/>
        <v>63.806298125000026</v>
      </c>
      <c r="H32" s="7">
        <f t="shared" si="17"/>
        <v>83.869658843750003</v>
      </c>
    </row>
    <row r="33" spans="2:8" x14ac:dyDescent="0.3">
      <c r="B33" s="2" t="s">
        <v>30</v>
      </c>
      <c r="C33" s="7">
        <f>-C32*Hypothesis!$C$5</f>
        <v>-3.8939999999999997</v>
      </c>
      <c r="D33" s="7">
        <f>-D32*Hypothesis!$C$5</f>
        <v>-5.5913000000000004</v>
      </c>
      <c r="E33" s="7">
        <f>-E32*Hypothesis!$C$5</f>
        <v>-7.765835</v>
      </c>
      <c r="F33" s="7">
        <f>-F32*Hypothesis!$C$5</f>
        <v>-10.533718250000002</v>
      </c>
      <c r="G33" s="7">
        <f>-G32*Hypothesis!$C$5</f>
        <v>-14.037385587500006</v>
      </c>
      <c r="H33" s="7">
        <f>-H32*Hypothesis!$C$5</f>
        <v>-18.451324945625</v>
      </c>
    </row>
    <row r="34" spans="2:8" x14ac:dyDescent="0.3">
      <c r="B34" s="8" t="s">
        <v>31</v>
      </c>
      <c r="C34" s="9">
        <f>C32+C33</f>
        <v>13.805999999999999</v>
      </c>
      <c r="D34" s="9">
        <f t="shared" ref="D34:H34" si="18">D32+D33</f>
        <v>19.823700000000002</v>
      </c>
      <c r="E34" s="9">
        <f t="shared" si="18"/>
        <v>27.533415000000002</v>
      </c>
      <c r="F34" s="9">
        <f t="shared" si="18"/>
        <v>37.346819250000003</v>
      </c>
      <c r="G34" s="9">
        <f t="shared" si="18"/>
        <v>49.768912537500022</v>
      </c>
      <c r="H34" s="9">
        <f t="shared" si="18"/>
        <v>65.418333898124999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0004F-8942-4C29-A149-1EC45F807626}">
  <dimension ref="A1:F3"/>
  <sheetViews>
    <sheetView tabSelected="1" workbookViewId="0">
      <selection activeCell="F14" sqref="F14"/>
    </sheetView>
  </sheetViews>
  <sheetFormatPr defaultRowHeight="14.4" x14ac:dyDescent="0.3"/>
  <sheetData>
    <row r="1" spans="1:6" x14ac:dyDescent="0.3">
      <c r="B1" s="6">
        <f>Enterprise_Data!K3+1</f>
        <v>2021</v>
      </c>
      <c r="C1" s="6">
        <f>B1+1</f>
        <v>2022</v>
      </c>
      <c r="D1" s="6">
        <f>C1+1</f>
        <v>2023</v>
      </c>
      <c r="E1" s="6">
        <f>D1+1</f>
        <v>2024</v>
      </c>
      <c r="F1" s="6">
        <f>E1+1</f>
        <v>2025</v>
      </c>
    </row>
    <row r="2" spans="1:6" x14ac:dyDescent="0.3">
      <c r="A2" s="2" t="s">
        <v>52</v>
      </c>
      <c r="B2" s="7">
        <f>Enterprise_Data!D25*(1-Hypothesis!$C$5)-Enterprise_Data!C20-(Enterprise_Data!L8-Enterprise_Data!K8)-(Enterprise_Data!L16-Enterprise_Data!K16)</f>
        <v>27.28649999999999</v>
      </c>
      <c r="C2" s="7">
        <f>Enterprise_Data!E25*(1-Hypothesis!$C$5)-Enterprise_Data!D20-(Enterprise_Data!M8-Enterprise_Data!L8)-(Enterprise_Data!M16-Enterprise_Data!L16)</f>
        <v>36.430194999999983</v>
      </c>
      <c r="D2" s="7">
        <f>Enterprise_Data!F25*(1-Hypothesis!$C$5)-Enterprise_Data!E20-(Enterprise_Data!N8-Enterprise_Data!M8)-(Enterprise_Data!N16-Enterprise_Data!M16)</f>
        <v>47.911101850000001</v>
      </c>
      <c r="E2" s="7">
        <f>Enterprise_Data!G25*(1-Hypothesis!$C$5)-Enterprise_Data!F20-(Enterprise_Data!O8-Enterprise_Data!N8)-(Enterprise_Data!O16-Enterprise_Data!N16)</f>
        <v>62.269374935500004</v>
      </c>
      <c r="F2" s="7">
        <f>Enterprise_Data!H25*(1-Hypothesis!$C$5)-Enterprise_Data!G20-(Enterprise_Data!P8-Enterprise_Data!O8)-(Enterprise_Data!P16-Enterprise_Data!O16)</f>
        <v>80.163821608465</v>
      </c>
    </row>
    <row r="3" spans="1:6" x14ac:dyDescent="0.3">
      <c r="A3" s="2" t="s">
        <v>53</v>
      </c>
      <c r="B3" s="7">
        <f>Enterprise_Data!C34-Enterprise_Data!C20-(Enterprise_Data!L8-Enterprise_Data!K8)-(Enterprise_Data!L16-Enterprise_Data!K16)</f>
        <v>17.009999999999991</v>
      </c>
      <c r="C3" s="7">
        <f>Enterprise_Data!D34-Enterprise_Data!D20-(Enterprise_Data!M8-Enterprise_Data!L8)-(Enterprise_Data!M16-Enterprise_Data!L16)</f>
        <v>23.879019999999986</v>
      </c>
      <c r="D3" s="7">
        <f>Enterprise_Data!E34-Enterprise_Data!E20-(Enterprise_Data!N8-Enterprise_Data!M8)-(Enterprise_Data!N16-Enterprise_Data!M16)</f>
        <v>32.597410599999996</v>
      </c>
      <c r="E3" s="7">
        <f>Enterprise_Data!F34-Enterprise_Data!F20-(Enterprise_Data!O8-Enterprise_Data!N8)-(Enterprise_Data!O16-Enterprise_Data!N16)</f>
        <v>43.602821997999996</v>
      </c>
      <c r="F3" s="7">
        <f>Enterprise_Data!G34-Enterprise_Data!G20-(Enterprise_Data!P8-Enterprise_Data!O8)-(Enterprise_Data!P16-Enterprise_Data!O16)</f>
        <v>57.430316130340017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B80D1-EC85-427F-A00B-24F8FB453D62}">
  <dimension ref="B3:F5"/>
  <sheetViews>
    <sheetView workbookViewId="0">
      <selection activeCell="E10" sqref="E10"/>
    </sheetView>
  </sheetViews>
  <sheetFormatPr defaultRowHeight="14.4" x14ac:dyDescent="0.3"/>
  <cols>
    <col min="2" max="2" width="16.21875" customWidth="1"/>
    <col min="5" max="5" width="17" customWidth="1"/>
  </cols>
  <sheetData>
    <row r="3" spans="2:6" x14ac:dyDescent="0.3">
      <c r="B3" s="10" t="s">
        <v>6</v>
      </c>
      <c r="C3" s="1">
        <v>0.2</v>
      </c>
      <c r="E3" s="10" t="s">
        <v>46</v>
      </c>
      <c r="F3" s="1">
        <v>0.08</v>
      </c>
    </row>
    <row r="4" spans="2:6" x14ac:dyDescent="0.3">
      <c r="B4" s="10" t="s">
        <v>7</v>
      </c>
      <c r="C4" s="1">
        <v>0.15</v>
      </c>
    </row>
    <row r="5" spans="2:6" x14ac:dyDescent="0.3">
      <c r="B5" s="10" t="s">
        <v>30</v>
      </c>
      <c r="C5" s="1">
        <v>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Enterprise_Data</vt:lpstr>
      <vt:lpstr>FLUSSI</vt:lpstr>
      <vt:lpstr>Hypothesis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faruk jeridi</dc:creator>
  <cp:lastModifiedBy>faruk jeridi</cp:lastModifiedBy>
  <dcterms:created xsi:type="dcterms:W3CDTF">2026-05-08T13:48:40Z</dcterms:created>
  <dcterms:modified xsi:type="dcterms:W3CDTF">2026-05-11T14:24:23Z</dcterms:modified>
</cp:coreProperties>
</file>